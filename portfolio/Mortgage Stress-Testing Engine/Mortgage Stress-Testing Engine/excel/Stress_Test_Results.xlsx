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rojection" sheetId="2" state="visible" r:id="rId4"/>
    <sheet name="Segments" sheetId="3" state="visible" r:id="rId5"/>
    <sheet name="Stress Calculato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<sst xmlns="http://schemas.openxmlformats.org/spreadsheetml/2006/main" count="90" uniqueCount="85">
  <si>
    <t xml:space="preserve">Severely Adverse — Mortgage Stress-Test Results</t>
  </si>
  <si>
    <t xml:space="preserve">Loan-level PD model on real Freddie Mac mortgages, projected under the Federal Reserve's 2026 baseline vs severely-adverse (CCAR/DFAST) scenarios.</t>
  </si>
  <si>
    <t xml:space="preserve">Portfolio (UPB)</t>
  </si>
  <si>
    <t xml:space="preserve">Loans</t>
  </si>
  <si>
    <t xml:space="preserve">Baseline loss rate</t>
  </si>
  <si>
    <t xml:space="preserve">Severely-adverse loss</t>
  </si>
  <si>
    <t xml:space="preserve">Severe ÷ baseline</t>
  </si>
  <si>
    <t xml:space="preserve">Headline</t>
  </si>
  <si>
    <t xml:space="preserve">Quarter</t>
  </si>
  <si>
    <t xml:space="preserve">Baseline cum loss %</t>
  </si>
  <si>
    <t xml:space="preserve">Severe cum loss %</t>
  </si>
  <si>
    <t xml:space="preserve">Baseline cum default %</t>
  </si>
  <si>
    <t xml:space="preserve">Severe cum default %</t>
  </si>
  <si>
    <t xml:space="preserve">Unemployment (severe) %</t>
  </si>
  <si>
    <t xml:space="preserve">Portfolio UPB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</si>
  <si>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</si>
  <si>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</si>
  <si>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</si>
  <si>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</si>
  <si>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</si>
  <si>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</si>
  <si>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</si>
  <si>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</si>
  <si>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</si>
  <si>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</si>
  <si>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</si>
  <si>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</si>
  <si>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</si>
  <si>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Final</t>
  </si>
  <si>
    <t xml:space="preserve">Loss rate by risk segment (severely adverse)</t>
  </si>
  <si>
    <t xml:space="preserve">FICO band</t>
  </si>
  <si>
    <t xml:space="preserve">Loss rate %</t>
  </si>
  <si>
    <t xml:space="preserve">Expected loss</t>
  </si>
  <si>
    <t xml:space="preserve">620-659</t>
  </si>
  <si>
    <t xml:space="preserve">660-699</t>
  </si>
  <si>
    <t xml:space="preserve">700-739</t>
  </si>
  <si>
    <t xml:space="preserve">740-779</t>
  </si>
  <si>
    <t xml:space="preserve">780+</t>
  </si>
  <si>
    <t xml:space="preserve">&lt;620</t>
  </si>
  <si>
    <t xml:space="preserve">Original LTV band</t>
  </si>
  <si>
    <t xml:space="preserve">61-70</t>
  </si>
  <si>
    <t xml:space="preserve">71-80</t>
  </si>
  <si>
    <t xml:space="preserve">81-90</t>
  </si>
  <si>
    <t xml:space="preserve">91+</t>
  </si>
  <si>
    <t xml:space="preserve">&lt;=60</t>
  </si>
  <si>
    <t xml:space="preserve">Interactive Stress Calculator (change the blue inputs)</t>
  </si>
  <si>
    <t xml:space="preserve">Illustrative — driven by the fitted discrete-time hazard on a representative loan. Change B4/B5; the loss path recomputes.</t>
  </si>
  <si>
    <t xml:space="preserve">Unemployment peak (%)</t>
  </si>
  <si>
    <t xml:space="preserve">House-price decline (%)</t>
  </si>
  <si>
    <t xml:space="preserve">Feature</t>
  </si>
  <si>
    <t xml:space="preserve">Coef</t>
  </si>
  <si>
    <t xml:space="preserve">Mean</t>
  </si>
  <si>
    <t xml:space="preserve">Scale</t>
  </si>
  <si>
    <t xml:space="preserve">loan_age_q</t>
  </si>
  <si>
    <t xml:space="preserve">intercept</t>
  </si>
  <si>
    <t xml:space="preserve">loan_age_q_sq</t>
  </si>
  <si>
    <t xml:space="preserve">fico_rep</t>
  </si>
  <si>
    <t xml:space="preserve">fico</t>
  </si>
  <si>
    <t xml:space="preserve">oltv_rep</t>
  </si>
  <si>
    <t xml:space="preserve">current_ltv</t>
  </si>
  <si>
    <t xml:space="preserve">dti_rep</t>
  </si>
  <si>
    <t xml:space="preserve">odti</t>
  </si>
  <si>
    <t xml:space="preserve">rate_rep</t>
  </si>
  <si>
    <t xml:space="preserve">orig_rate</t>
  </si>
  <si>
    <t xml:space="preserve">lgd</t>
  </si>
  <si>
    <t xml:space="preserve">unemployment_rate</t>
  </si>
  <si>
    <t xml:space="preserve">prepay_q</t>
  </si>
  <si>
    <t xml:space="preserve">base_unemp</t>
  </si>
  <si>
    <t xml:space="preserve">start_age</t>
  </si>
  <si>
    <t xml:space="preserve">portfolio_upb</t>
  </si>
  <si>
    <t xml:space="preserve">t</t>
  </si>
  <si>
    <t xml:space="preserve">Age(q)</t>
  </si>
  <si>
    <t xml:space="preserve">Age^2</t>
  </si>
  <si>
    <t xml:space="preserve">Unemp%</t>
  </si>
  <si>
    <t xml:space="preserve">HPI idx</t>
  </si>
  <si>
    <t xml:space="preserve">Cur LTV</t>
  </si>
  <si>
    <t xml:space="preserve">z</t>
  </si>
  <si>
    <t xml:space="preserve">h_def</t>
  </si>
  <si>
    <t xml:space="preserve">Survival</t>
  </si>
  <si>
    <t xml:space="preserve">Exp def</t>
  </si>
  <si>
    <t xml:space="preserve">Cum def</t>
  </si>
  <si>
    <t xml:space="preserve">Cum loss %</t>
  </si>
  <si>
    <t xml:space="preserve">Projected cumulative default</t>
  </si>
  <si>
    <t xml:space="preserve">Projected loss rate</t>
  </si>
  <si>
    <t xml:space="preserve">Projected expected loss ($)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</si>
</sst>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,,\M"/>
    <numFmt numFmtId="166" formatCode="#,##0"/>
    <numFmt numFmtId="167" formatCode="0.00%"/>
    <numFmt numFmtId="168" formatCode="0.0\x"/>
    <numFmt numFmtId="169" formatCode="0.0%"/>
    <numFmt numFmtId="170" formatCode="\$#,##0"/>
    <numFmt numFmtId="171" formatCode="0.0"/>
    <numFmt numFmtId="172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8"/>
      <color rgb="FF1D4ED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1"/>
      <color rgb="FFB91C1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F"/>
        <bgColor rgb="FFFFFFFF"/>
      </patternFill>
    </fill>
    <fill>
      <patternFill patternType="solid">
        <fgColor rgb="FF1E293B"/>
        <bgColor rgb="FF1F2937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BE4B48"/>
      <rgbColor rgb="FFFFFFCC"/>
      <rgbColor rgb="FFEEF2FF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B7280"/>
      <rgbColor rgb="FF969696"/>
      <rgbColor rgb="FF1E293B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portfolio loss — Fed 2026 scenarios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Projection!B1</c:f>
              <c:strCache>
                <c:ptCount val="1"/>
                <c:pt idx="0">
                  <c:v>Baseline cum loss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Projection!$A$2:$A$14</c:f>
              <c:strCache>
                <c:ptCount val="13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  <c:pt idx="4">
                  <c:v>2027Q1</c:v>
                </c:pt>
                <c:pt idx="5">
                  <c:v>2027Q2</c:v>
                </c:pt>
                <c:pt idx="6">
                  <c:v>2027Q3</c:v>
                </c:pt>
                <c:pt idx="7">
                  <c:v>2027Q4</c:v>
                </c:pt>
                <c:pt idx="8">
                  <c:v>2028Q1</c:v>
                </c:pt>
                <c:pt idx="9">
                  <c:v>2028Q2</c:v>
                </c:pt>
                <c:pt idx="10">
                  <c:v>2028Q3</c:v>
                </c:pt>
                <c:pt idx="11">
                  <c:v>2028Q4</c:v>
                </c:pt>
                <c:pt idx="12">
                  <c:v>2029Q1</c:v>
                </c:pt>
              </c:strCache>
            </c:strRef>
          </c:cat>
          <c:val>
            <c:numRef>
              <c:f>Projection!$B$2:$B$14</c:f>
              <c:numCache>
                <c:formatCode>0.00%</c:formatCode>
                <c:ptCount val="13"/>
                <c:pt idx="0">
                  <c:v>0.000143094578764875</c:v>
                </c:pt>
                <c:pt idx="1">
                  <c:v>0.000287230603147312</c:v>
                </c:pt>
                <c:pt idx="2">
                  <c:v>0.00043235363617585</c:v>
                </c:pt>
                <c:pt idx="3">
                  <c:v>0.000576809985573186</c:v>
                </c:pt>
                <c:pt idx="4">
                  <c:v>0.000720545629077377</c:v>
                </c:pt>
                <c:pt idx="5">
                  <c:v>0.000863517546923817</c:v>
                </c:pt>
                <c:pt idx="6">
                  <c:v>0.00100568580004716</c:v>
                </c:pt>
                <c:pt idx="7">
                  <c:v>0.00114700999235524</c:v>
                </c:pt>
                <c:pt idx="8">
                  <c:v>0.00128745287616283</c:v>
                </c:pt>
                <c:pt idx="9">
                  <c:v>0.00142697692449054</c:v>
                </c:pt>
                <c:pt idx="10">
                  <c:v>0.00156554614224514</c:v>
                </c:pt>
                <c:pt idx="11">
                  <c:v>0.00170312775044801</c:v>
                </c:pt>
                <c:pt idx="12">
                  <c:v>0.00183970607477218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Projection!C1</c:f>
              <c:strCache>
                <c:ptCount val="1"/>
                <c:pt idx="0">
                  <c:v>Severe cum loss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Projection!$A$2:$A$14</c:f>
              <c:strCache>
                <c:ptCount val="13"/>
                <c:pt idx="0">
                  <c:v>2026Q1</c:v>
                </c:pt>
                <c:pt idx="1">
                  <c:v>2026Q2</c:v>
                </c:pt>
                <c:pt idx="2">
                  <c:v>2026Q3</c:v>
                </c:pt>
                <c:pt idx="3">
                  <c:v>2026Q4</c:v>
                </c:pt>
                <c:pt idx="4">
                  <c:v>2027Q1</c:v>
                </c:pt>
                <c:pt idx="5">
                  <c:v>2027Q2</c:v>
                </c:pt>
                <c:pt idx="6">
                  <c:v>2027Q3</c:v>
                </c:pt>
                <c:pt idx="7">
                  <c:v>2027Q4</c:v>
                </c:pt>
                <c:pt idx="8">
                  <c:v>2028Q1</c:v>
                </c:pt>
                <c:pt idx="9">
                  <c:v>2028Q2</c:v>
                </c:pt>
                <c:pt idx="10">
                  <c:v>2028Q3</c:v>
                </c:pt>
                <c:pt idx="11">
                  <c:v>2028Q4</c:v>
                </c:pt>
                <c:pt idx="12">
                  <c:v>2029Q1</c:v>
                </c:pt>
              </c:strCache>
            </c:strRef>
          </c:cat>
          <c:val>
            <c:numRef>
              <c:f>Projection!$C$2:$C$14</c:f>
              <c:numCache>
                <c:formatCode>0.00%</c:formatCode>
                <c:ptCount val="13"/>
                <c:pt idx="0">
                  <c:v>0.000200512693806874</c:v>
                </c:pt>
                <c:pt idx="1">
                  <c:v>0.000474757218611553</c:v>
                </c:pt>
                <c:pt idx="2">
                  <c:v>0.000851619954106608</c:v>
                </c:pt>
                <c:pt idx="3">
                  <c:v>0.00137256668063514</c:v>
                </c:pt>
                <c:pt idx="4">
                  <c:v>0.00203885544067005</c:v>
                </c:pt>
                <c:pt idx="5">
                  <c:v>0.0028949732241532</c:v>
                </c:pt>
                <c:pt idx="6">
                  <c:v>0.00400066629995437</c:v>
                </c:pt>
                <c:pt idx="7">
                  <c:v>0.00515496201909706</c:v>
                </c:pt>
                <c:pt idx="8">
                  <c:v>0.00624695000335435</c:v>
                </c:pt>
                <c:pt idx="9">
                  <c:v>0.00727899535801816</c:v>
                </c:pt>
                <c:pt idx="10">
                  <c:v>0.00823554509672578</c:v>
                </c:pt>
                <c:pt idx="11">
                  <c:v>0.00912122461857868</c:v>
                </c:pt>
                <c:pt idx="12">
                  <c:v>0.00993970891849457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190477"/>
        <c:axId val="3992597"/>
      </c:lineChart>
      <c:catAx>
        <c:axId val="541904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992597"/>
        <c:crosses val="autoZero"/>
        <c:auto val="1"/>
        <c:lblAlgn val="ctr"/>
        <c:lblOffset val="100"/>
        <c:noMultiLvlLbl val="0"/>
      </c:catAx>
      <c:valAx>
        <c:axId val="3992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Cumulative loss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1904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Projected cumulative loss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'Stress Calculator'!L19</c:f>
              <c:strCache>
                <c:ptCount val="1"/>
                <c:pt idx="0">
                  <c:v>Cum loss 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'Stress Calculator'!$A$20:$A$32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'Stress Calculator'!$L$20:$L$32</c:f>
              <c:numCache>
                <c:formatCode>0.00%</c:formatCode>
                <c:ptCount val="13"/>
                <c:pt idx="0">
                  <c:v>0.000158021106005567</c:v>
                </c:pt>
                <c:pt idx="1">
                  <c:v>0.000365336660017047</c:v>
                </c:pt>
                <c:pt idx="2">
                  <c:v>0.000638421922171187</c:v>
                </c:pt>
                <c:pt idx="3">
                  <c:v>0.000999777323542303</c:v>
                </c:pt>
                <c:pt idx="4">
                  <c:v>0.00148038793193768</c:v>
                </c:pt>
                <c:pt idx="5">
                  <c:v>0.00212331848749319</c:v>
                </c:pt>
                <c:pt idx="6">
                  <c:v>0.00298903808252768</c:v>
                </c:pt>
                <c:pt idx="7">
                  <c:v>0.00393619277173686</c:v>
                </c:pt>
                <c:pt idx="8">
                  <c:v>0.00488117115842944</c:v>
                </c:pt>
                <c:pt idx="9">
                  <c:v>0.00582369644794183</c:v>
                </c:pt>
                <c:pt idx="10">
                  <c:v>0.00676349374339752</c:v>
                </c:pt>
                <c:pt idx="11">
                  <c:v>0.00770029031361026</c:v>
                </c:pt>
                <c:pt idx="12">
                  <c:v>0.00863381585840044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421197"/>
        <c:axId val="42236147"/>
      </c:lineChart>
      <c:catAx>
        <c:axId val="224211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236147"/>
        <c:crosses val="autoZero"/>
        <c:auto val="1"/>
        <c:lblAlgn val="ctr"/>
        <c:lblOffset val="100"/>
        <c:noMultiLvlLbl val="0"/>
      </c:catAx>
      <c:valAx>
        <c:axId val="42236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4211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0</xdr:row>
      <xdr:rowOff>0</xdr:rowOff>
    </xdr:from>
    <xdr:to>
      <xdr:col>19</xdr:col>
      <xdr:colOff>256320</xdr:colOff>
      <xdr:row>15</xdr:row>
      <xdr:rowOff>21960</xdr:rowOff>
    </xdr:to>
    <xdr:graphicFrame>
      <xdr:nvGraphicFramePr>
        <xdr:cNvPr id="1" name="Chart 1"/>
        <xdr:cNvGraphicFramePr/>
      </xdr:nvGraphicFramePr>
      <xdr:xfrm>
        <a:off x="10010880" y="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16</xdr:row>
      <xdr:rowOff>0</xdr:rowOff>
    </xdr:from>
    <xdr:to>
      <xdr:col>10</xdr:col>
      <xdr:colOff>387720</xdr:colOff>
      <xdr:row>29</xdr:row>
      <xdr:rowOff>42840</xdr:rowOff>
    </xdr:to>
    <xdr:graphicFrame>
      <xdr:nvGraphicFramePr>
        <xdr:cNvPr id="2" name="Chart 1"/>
        <xdr:cNvGraphicFramePr/>
      </xdr:nvGraphicFramePr>
      <xdr:xfrm>
        <a:off x="4017600" y="310752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2" t="s">
        <v>2</v>
      </c>
      <c r="D4" s="2" t="s">
        <v>3</v>
      </c>
      <c r="G4" s="2" t="s">
        <v>4</v>
      </c>
    </row>
    <row r="5" customFormat="false" ht="22.05" hidden="false" customHeight="false" outlineLevel="0" collapsed="false">
      <c r="A5" s="3" t="n">
        <f aca="false">Projection!$H$2</f>
        <v>35446498000</v>
      </c>
      <c r="D5" s="4" t="n">
        <f aca="false">Projection!$I$2</f>
        <v>147609</v>
      </c>
      <c r="G5" s="5" t="n">
        <f aca="false">Projection!B15</f>
        <v>0.00183970607477218</v>
      </c>
    </row>
    <row r="7" customFormat="false" ht="15" hidden="false" customHeight="false" outlineLevel="0" collapsed="false">
      <c r="A7" s="2" t="s">
        <v>5</v>
      </c>
      <c r="D7" s="2" t="s">
        <v>6</v>
      </c>
    </row>
    <row r="8" customFormat="false" ht="22.05" hidden="false" customHeight="false" outlineLevel="0" collapsed="false">
      <c r="A8" s="5" t="n">
        <f aca="false">Projection!C15</f>
        <v>0.00993970891849457</v>
      </c>
      <c r="D8" s="6" t="n">
        <f aca="false">Projection!C15/Projection!B15</f>
        <v>5.40287878308248</v>
      </c>
    </row>
    <row r="11" customFormat="false" ht="15" hidden="false" customHeight="false" outlineLevel="0" collapsed="false">
      <c r="A11" s="7" t="s">
        <v>7</v>
      </c>
    </row>
    <row r="12" customFormat="false" ht="15" hidden="false" customHeight="false" outlineLevel="0" collapsed="false">
      <c r="A12" s="8" t="str">
        <f aca="false">CONCATENATE("Projected 13-quarter loss = ",TEXT(Projection!B15,"0.00%")," (baseline) vs ",TEXT(Projection!C15,"0.00%")," (severely adverse) — ",TEXT(Projection!C15/Projection!B15,"0.0"),"x baseline.")</f>
        <v>Projected 13-quarter loss = 0.18% (baseline) vs 0.99% (severely adverse) — 5.4x baseline.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8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H1" s="0" t="s">
        <v>14</v>
      </c>
      <c r="I1" s="0" t="s">
        <v>3</v>
      </c>
    </row>
    <row r="2" customFormat="false" ht="15" hidden="false" customHeight="false" outlineLevel="0" collapsed="false">
      <c r="A2" s="10" t="s">
        <v>15</v>
      </c>
      <c r="B2" s="11" t="n">
        <v>0.000143094578764875</v>
      </c>
      <c r="C2" s="11" t="n">
        <v>0.000200512693806874</v>
      </c>
      <c r="D2" s="11" t="n">
        <v>0.000474</v>
      </c>
      <c r="E2" s="11" t="n">
        <v>0.000664</v>
      </c>
      <c r="F2" s="12" t="n">
        <v>0.056</v>
      </c>
      <c r="H2" s="13" t="n">
        <v>35446498000</v>
      </c>
      <c r="I2" s="14" t="n">
        <v>147609</v>
      </c>
    </row>
    <row r="3" customFormat="false" ht="15" hidden="false" customHeight="false" outlineLevel="0" collapsed="false">
      <c r="A3" s="10" t="s">
        <v>16</v>
      </c>
      <c r="B3" s="11" t="n">
        <v>0.000287230603147312</v>
      </c>
      <c r="C3" s="11" t="n">
        <v>0.000474757218611553</v>
      </c>
      <c r="D3" s="11" t="n">
        <v>0.000951</v>
      </c>
      <c r="E3" s="11" t="n">
        <v>0.001571</v>
      </c>
      <c r="F3" s="12" t="n">
        <v>0.0647</v>
      </c>
    </row>
    <row r="4" customFormat="false" ht="15" hidden="false" customHeight="false" outlineLevel="0" collapsed="false">
      <c r="A4" s="10" t="s">
        <v>17</v>
      </c>
      <c r="B4" s="11" t="n">
        <v>0.00043235363617585</v>
      </c>
      <c r="C4" s="11" t="n">
        <v>0.000851619954106608</v>
      </c>
      <c r="D4" s="11" t="n">
        <v>0.001432</v>
      </c>
      <c r="E4" s="11" t="n">
        <v>0.002817</v>
      </c>
      <c r="F4" s="12" t="n">
        <v>0.0733</v>
      </c>
    </row>
    <row r="5" customFormat="false" ht="15" hidden="false" customHeight="false" outlineLevel="0" collapsed="false">
      <c r="A5" s="10" t="s">
        <v>18</v>
      </c>
      <c r="B5" s="11" t="n">
        <v>0.000576809985573186</v>
      </c>
      <c r="C5" s="11" t="n">
        <v>0.00137256668063514</v>
      </c>
      <c r="D5" s="11" t="n">
        <v>0.00191</v>
      </c>
      <c r="E5" s="11" t="n">
        <v>0.00454</v>
      </c>
      <c r="F5" s="12" t="n">
        <v>0.082</v>
      </c>
    </row>
    <row r="6" customFormat="false" ht="15" hidden="false" customHeight="false" outlineLevel="0" collapsed="false">
      <c r="A6" s="10" t="s">
        <v>19</v>
      </c>
      <c r="B6" s="11" t="n">
        <v>0.000720545629077377</v>
      </c>
      <c r="C6" s="11" t="n">
        <v>0.00203885544067005</v>
      </c>
      <c r="D6" s="11" t="n">
        <v>0.002386</v>
      </c>
      <c r="E6" s="11" t="n">
        <v>0.006741</v>
      </c>
      <c r="F6" s="12" t="n">
        <v>0.088</v>
      </c>
    </row>
    <row r="7" customFormat="false" ht="15" hidden="false" customHeight="false" outlineLevel="0" collapsed="false">
      <c r="A7" s="10" t="s">
        <v>20</v>
      </c>
      <c r="B7" s="11" t="n">
        <v>0.000863517546923817</v>
      </c>
      <c r="C7" s="11" t="n">
        <v>0.0028949732241532</v>
      </c>
      <c r="D7" s="11" t="n">
        <v>0.00286</v>
      </c>
      <c r="E7" s="11" t="n">
        <v>0.009569</v>
      </c>
      <c r="F7" s="12" t="n">
        <v>0.094</v>
      </c>
    </row>
    <row r="8" customFormat="false" ht="15" hidden="false" customHeight="false" outlineLevel="0" collapsed="false">
      <c r="A8" s="10" t="s">
        <v>21</v>
      </c>
      <c r="B8" s="11" t="n">
        <v>0.00100568580004716</v>
      </c>
      <c r="C8" s="11" t="n">
        <v>0.00400066629995437</v>
      </c>
      <c r="D8" s="11" t="n">
        <v>0.003331</v>
      </c>
      <c r="E8" s="11" t="n">
        <v>0.013219</v>
      </c>
      <c r="F8" s="12" t="n">
        <v>0.1</v>
      </c>
    </row>
    <row r="9" customFormat="false" ht="15" hidden="false" customHeight="false" outlineLevel="0" collapsed="false">
      <c r="A9" s="10" t="s">
        <v>22</v>
      </c>
      <c r="B9" s="11" t="n">
        <v>0.00114700999235524</v>
      </c>
      <c r="C9" s="11" t="n">
        <v>0.00515496201909706</v>
      </c>
      <c r="D9" s="11" t="n">
        <v>0.003799</v>
      </c>
      <c r="E9" s="11" t="n">
        <v>0.017027</v>
      </c>
      <c r="F9" s="12" t="n">
        <v>0.098</v>
      </c>
    </row>
    <row r="10" customFormat="false" ht="15" hidden="false" customHeight="false" outlineLevel="0" collapsed="false">
      <c r="A10" s="10" t="s">
        <v>23</v>
      </c>
      <c r="B10" s="11" t="n">
        <v>0.00128745287616283</v>
      </c>
      <c r="C10" s="11" t="n">
        <v>0.00624695000335435</v>
      </c>
      <c r="D10" s="11" t="n">
        <v>0.004264</v>
      </c>
      <c r="E10" s="11" t="n">
        <v>0.02063</v>
      </c>
      <c r="F10" s="12" t="n">
        <v>0.096</v>
      </c>
    </row>
    <row r="11" customFormat="false" ht="15" hidden="false" customHeight="false" outlineLevel="0" collapsed="false">
      <c r="A11" s="10" t="s">
        <v>24</v>
      </c>
      <c r="B11" s="11" t="n">
        <v>0.00142697692449054</v>
      </c>
      <c r="C11" s="11" t="n">
        <v>0.00727899535801816</v>
      </c>
      <c r="D11" s="11" t="n">
        <v>0.004727</v>
      </c>
      <c r="E11" s="11" t="n">
        <v>0.024035</v>
      </c>
      <c r="F11" s="12" t="n">
        <v>0.094</v>
      </c>
    </row>
    <row r="12" customFormat="false" ht="15" hidden="false" customHeight="false" outlineLevel="0" collapsed="false">
      <c r="A12" s="10" t="s">
        <v>25</v>
      </c>
      <c r="B12" s="11" t="n">
        <v>0.00156554614224514</v>
      </c>
      <c r="C12" s="11" t="n">
        <v>0.00823554509672578</v>
      </c>
      <c r="D12" s="11" t="n">
        <v>0.005186</v>
      </c>
      <c r="E12" s="11" t="n">
        <v>0.027191</v>
      </c>
      <c r="F12" s="12" t="n">
        <v>0.0913</v>
      </c>
    </row>
    <row r="13" customFormat="false" ht="15" hidden="false" customHeight="false" outlineLevel="0" collapsed="false">
      <c r="A13" s="10" t="s">
        <v>26</v>
      </c>
      <c r="B13" s="11" t="n">
        <v>0.00170312775044801</v>
      </c>
      <c r="C13" s="11" t="n">
        <v>0.00912122461857868</v>
      </c>
      <c r="D13" s="11" t="n">
        <v>0.005642</v>
      </c>
      <c r="E13" s="11" t="n">
        <v>0.030114</v>
      </c>
      <c r="F13" s="12" t="n">
        <v>0.0887</v>
      </c>
    </row>
    <row r="14" customFormat="false" ht="15" hidden="false" customHeight="false" outlineLevel="0" collapsed="false">
      <c r="A14" s="10" t="s">
        <v>27</v>
      </c>
      <c r="B14" s="11" t="n">
        <v>0.00183970607477218</v>
      </c>
      <c r="C14" s="11" t="n">
        <v>0.00993970891849457</v>
      </c>
      <c r="D14" s="11" t="n">
        <v>0.006094</v>
      </c>
      <c r="E14" s="11" t="n">
        <v>0.032815</v>
      </c>
      <c r="F14" s="12" t="n">
        <v>0.086</v>
      </c>
    </row>
    <row r="15" customFormat="false" ht="15" hidden="false" customHeight="false" outlineLevel="0" collapsed="false">
      <c r="A15" s="7" t="s">
        <v>28</v>
      </c>
      <c r="B15" s="15" t="n">
        <f aca="false">B14</f>
        <v>0.00183970607477218</v>
      </c>
      <c r="C15" s="15" t="n">
        <f aca="false">C14</f>
        <v>0.00993970891849457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29</v>
      </c>
    </row>
    <row r="3" customFormat="false" ht="15" hidden="false" customHeight="false" outlineLevel="0" collapsed="false">
      <c r="A3" s="9" t="s">
        <v>30</v>
      </c>
      <c r="B3" s="9" t="s">
        <v>3</v>
      </c>
      <c r="C3" s="9" t="s">
        <v>31</v>
      </c>
      <c r="D3" s="9" t="s">
        <v>32</v>
      </c>
    </row>
    <row r="4" customFormat="false" ht="15" hidden="false" customHeight="false" outlineLevel="0" collapsed="false">
      <c r="A4" s="10" t="s">
        <v>33</v>
      </c>
      <c r="B4" s="14" t="n">
        <v>6062</v>
      </c>
      <c r="C4" s="11" t="n">
        <v>0.019770159612367</v>
      </c>
      <c r="D4" s="13" t="n">
        <v>23926400.7273557</v>
      </c>
    </row>
    <row r="5" customFormat="false" ht="15" hidden="false" customHeight="false" outlineLevel="0" collapsed="false">
      <c r="A5" s="10" t="s">
        <v>34</v>
      </c>
      <c r="B5" s="14" t="n">
        <v>18222</v>
      </c>
      <c r="C5" s="11" t="n">
        <v>0.0159088497533755</v>
      </c>
      <c r="D5" s="13" t="n">
        <v>64490833.7735907</v>
      </c>
    </row>
    <row r="6" customFormat="false" ht="15" hidden="false" customHeight="false" outlineLevel="0" collapsed="false">
      <c r="A6" s="10" t="s">
        <v>35</v>
      </c>
      <c r="B6" s="14" t="n">
        <v>33765</v>
      </c>
      <c r="C6" s="11" t="n">
        <v>0.0124190109575351</v>
      </c>
      <c r="D6" s="13" t="n">
        <v>100772648.647669</v>
      </c>
    </row>
    <row r="7" customFormat="false" ht="15" hidden="false" customHeight="false" outlineLevel="0" collapsed="false">
      <c r="A7" s="10" t="s">
        <v>36</v>
      </c>
      <c r="B7" s="14" t="n">
        <v>45589</v>
      </c>
      <c r="C7" s="11" t="n">
        <v>0.00872606624814505</v>
      </c>
      <c r="D7" s="13" t="n">
        <v>99852253.9125964</v>
      </c>
    </row>
    <row r="8" customFormat="false" ht="15" hidden="false" customHeight="false" outlineLevel="0" collapsed="false">
      <c r="A8" s="10" t="s">
        <v>37</v>
      </c>
      <c r="B8" s="14" t="n">
        <v>43868</v>
      </c>
      <c r="C8" s="11" t="n">
        <v>0.00593441908539098</v>
      </c>
      <c r="D8" s="13" t="n">
        <v>62959872.1733232</v>
      </c>
    </row>
    <row r="9" customFormat="false" ht="15" hidden="false" customHeight="false" outlineLevel="0" collapsed="false">
      <c r="A9" s="10" t="s">
        <v>38</v>
      </c>
      <c r="B9" s="14" t="n">
        <v>103</v>
      </c>
      <c r="C9" s="11" t="n">
        <v>0.020553997702605</v>
      </c>
      <c r="D9" s="13" t="n">
        <v>325863.0795771</v>
      </c>
    </row>
    <row r="11" customFormat="false" ht="15" hidden="false" customHeight="false" outlineLevel="0" collapsed="false">
      <c r="A11" s="9" t="s">
        <v>39</v>
      </c>
      <c r="B11" s="9" t="s">
        <v>3</v>
      </c>
      <c r="C11" s="9" t="s">
        <v>31</v>
      </c>
      <c r="D11" s="9" t="s">
        <v>32</v>
      </c>
    </row>
    <row r="12" customFormat="false" ht="15" hidden="false" customHeight="false" outlineLevel="0" collapsed="false">
      <c r="A12" s="10" t="s">
        <v>40</v>
      </c>
      <c r="B12" s="14" t="n">
        <v>16414</v>
      </c>
      <c r="C12" s="11" t="n">
        <v>0.00782370237655998</v>
      </c>
      <c r="D12" s="13" t="n">
        <v>31021582.3481433</v>
      </c>
    </row>
    <row r="13" customFormat="false" ht="15" hidden="false" customHeight="false" outlineLevel="0" collapsed="false">
      <c r="A13" s="10" t="s">
        <v>41</v>
      </c>
      <c r="B13" s="14" t="n">
        <v>58255</v>
      </c>
      <c r="C13" s="11" t="n">
        <v>0.00947596174349297</v>
      </c>
      <c r="D13" s="13" t="n">
        <v>135369306.332833</v>
      </c>
    </row>
    <row r="14" customFormat="false" ht="15" hidden="false" customHeight="false" outlineLevel="0" collapsed="false">
      <c r="A14" s="10" t="s">
        <v>42</v>
      </c>
      <c r="B14" s="14" t="n">
        <v>17973</v>
      </c>
      <c r="C14" s="11" t="n">
        <v>0.0119246721136718</v>
      </c>
      <c r="D14" s="13" t="n">
        <v>57243255.6378308</v>
      </c>
    </row>
    <row r="15" customFormat="false" ht="15" hidden="false" customHeight="false" outlineLevel="0" collapsed="false">
      <c r="A15" s="10" t="s">
        <v>43</v>
      </c>
      <c r="B15" s="14" t="n">
        <v>28904</v>
      </c>
      <c r="C15" s="11" t="n">
        <v>0.014515095596733</v>
      </c>
      <c r="D15" s="13" t="n">
        <v>101748933.170671</v>
      </c>
    </row>
    <row r="16" customFormat="false" ht="15" hidden="false" customHeight="false" outlineLevel="0" collapsed="false">
      <c r="A16" s="10" t="s">
        <v>44</v>
      </c>
      <c r="B16" s="14" t="n">
        <v>26063</v>
      </c>
      <c r="C16" s="11" t="n">
        <v>0.00500312032658861</v>
      </c>
      <c r="D16" s="13" t="n">
        <v>26944794.824635</v>
      </c>
    </row>
  </sheetData>
  <conditionalFormatting sqref="C4:C9">
    <cfRule type="colorScale" priority="2">
      <colorScale>
        <cfvo type="min" val="0"/>
        <cfvo type="max" val="0"/>
        <color rgb="FFFEE2E2"/>
        <color rgb="FFDC2626"/>
      </colorScale>
    </cfRule>
  </conditionalFormatting>
  <conditionalFormatting sqref="C12:C16">
    <cfRule type="colorScale" priority="3">
      <colorScale>
        <cfvo type="min" val="0"/>
        <cfvo type="max" val="0"/>
        <color rgb="FFFEE2E2"/>
        <color rgb="FFDC262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2" min="2" style="0" width="11"/>
  </cols>
  <sheetData>
    <row r="1" customFormat="false" ht="19.7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false" outlineLevel="0" collapsed="false">
      <c r="A4" s="0" t="s">
        <v>47</v>
      </c>
      <c r="B4" s="16" t="n">
        <v>10</v>
      </c>
    </row>
    <row r="5" customFormat="false" ht="15" hidden="false" customHeight="false" outlineLevel="0" collapsed="false">
      <c r="A5" s="0" t="s">
        <v>48</v>
      </c>
      <c r="B5" s="16" t="n">
        <v>30</v>
      </c>
    </row>
    <row r="7" customFormat="false" ht="15" hidden="false" customHeight="false" outlineLevel="0" collapsed="false">
      <c r="A7" s="9"/>
      <c r="B7" s="9"/>
      <c r="C7" s="9"/>
      <c r="D7" s="9"/>
      <c r="E7" s="0" t="s">
        <v>49</v>
      </c>
      <c r="F7" s="0" t="s">
        <v>50</v>
      </c>
      <c r="G7" s="0" t="s">
        <v>51</v>
      </c>
      <c r="H7" s="0" t="s">
        <v>52</v>
      </c>
    </row>
    <row r="8" customFormat="false" ht="15" hidden="false" customHeight="false" outlineLevel="0" collapsed="false">
      <c r="E8" s="10" t="s">
        <v>53</v>
      </c>
      <c r="F8" s="10" t="n">
        <v>0.253899</v>
      </c>
      <c r="G8" s="10" t="n">
        <v>12.23412</v>
      </c>
      <c r="H8" s="10" t="n">
        <v>11.85223</v>
      </c>
      <c r="K8" s="2" t="s">
        <v>54</v>
      </c>
      <c r="L8" s="10" t="n">
        <v>-6.95489201456226</v>
      </c>
    </row>
    <row r="9" customFormat="false" ht="15" hidden="false" customHeight="false" outlineLevel="0" collapsed="false">
      <c r="E9" s="10" t="s">
        <v>55</v>
      </c>
      <c r="F9" s="10" t="n">
        <v>-0.064737</v>
      </c>
      <c r="G9" s="10" t="n">
        <v>290.149051</v>
      </c>
      <c r="H9" s="10" t="n">
        <v>557.650639</v>
      </c>
      <c r="K9" s="2" t="s">
        <v>56</v>
      </c>
      <c r="L9" s="10" t="n">
        <v>747.342546863674</v>
      </c>
    </row>
    <row r="10" customFormat="false" ht="15" hidden="false" customHeight="false" outlineLevel="0" collapsed="false">
      <c r="E10" s="10" t="s">
        <v>57</v>
      </c>
      <c r="F10" s="10" t="n">
        <v>-0.427612</v>
      </c>
      <c r="G10" s="10" t="n">
        <v>730.199637</v>
      </c>
      <c r="H10" s="10" t="n">
        <v>55.623467</v>
      </c>
      <c r="K10" s="2" t="s">
        <v>58</v>
      </c>
      <c r="L10" s="10" t="n">
        <v>75.6773841703419</v>
      </c>
    </row>
    <row r="11" customFormat="false" ht="15" hidden="false" customHeight="false" outlineLevel="0" collapsed="false">
      <c r="E11" s="10" t="s">
        <v>59</v>
      </c>
      <c r="F11" s="10" t="n">
        <v>0.352582</v>
      </c>
      <c r="G11" s="10" t="n">
        <v>74.84806</v>
      </c>
      <c r="H11" s="10" t="n">
        <v>21.090737</v>
      </c>
      <c r="K11" s="2" t="s">
        <v>60</v>
      </c>
      <c r="L11" s="10" t="n">
        <v>35.4289237106139</v>
      </c>
    </row>
    <row r="12" customFormat="false" ht="15" hidden="false" customHeight="false" outlineLevel="0" collapsed="false">
      <c r="E12" s="10" t="s">
        <v>61</v>
      </c>
      <c r="F12" s="10" t="n">
        <v>0.253613</v>
      </c>
      <c r="G12" s="10" t="n">
        <v>35.895404</v>
      </c>
      <c r="H12" s="10" t="n">
        <v>11.551719</v>
      </c>
      <c r="K12" s="2" t="s">
        <v>62</v>
      </c>
      <c r="L12" s="10" t="n">
        <v>4.38886192576334</v>
      </c>
    </row>
    <row r="13" customFormat="false" ht="15" hidden="false" customHeight="false" outlineLevel="0" collapsed="false">
      <c r="E13" s="10" t="s">
        <v>63</v>
      </c>
      <c r="F13" s="10" t="n">
        <v>0.052371</v>
      </c>
      <c r="G13" s="10" t="n">
        <v>5.628725</v>
      </c>
      <c r="H13" s="10" t="n">
        <v>0.949671</v>
      </c>
      <c r="K13" s="2" t="s">
        <v>64</v>
      </c>
      <c r="L13" s="10" t="n">
        <v>0.3</v>
      </c>
    </row>
    <row r="14" customFormat="false" ht="15" hidden="false" customHeight="false" outlineLevel="0" collapsed="false">
      <c r="E14" s="10" t="s">
        <v>65</v>
      </c>
      <c r="F14" s="10" t="n">
        <v>0.58025</v>
      </c>
      <c r="G14" s="10" t="n">
        <v>6.603191</v>
      </c>
      <c r="H14" s="10" t="n">
        <v>2.111722</v>
      </c>
      <c r="K14" s="2" t="s">
        <v>66</v>
      </c>
      <c r="L14" s="10" t="n">
        <v>0.0165</v>
      </c>
    </row>
    <row r="15" customFormat="false" ht="15" hidden="false" customHeight="false" outlineLevel="0" collapsed="false">
      <c r="K15" s="2" t="s">
        <v>67</v>
      </c>
      <c r="L15" s="10" t="n">
        <v>4.5</v>
      </c>
    </row>
    <row r="16" customFormat="false" ht="15" hidden="false" customHeight="false" outlineLevel="0" collapsed="false">
      <c r="K16" s="2" t="s">
        <v>68</v>
      </c>
      <c r="L16" s="10" t="n">
        <v>6</v>
      </c>
    </row>
    <row r="17" customFormat="false" ht="15" hidden="false" customHeight="false" outlineLevel="0" collapsed="false">
      <c r="K17" s="2" t="s">
        <v>69</v>
      </c>
      <c r="L17" s="10" t="n">
        <v>35446498000</v>
      </c>
    </row>
    <row r="19" customFormat="false" ht="15" hidden="false" customHeight="false" outlineLevel="0" collapsed="false">
      <c r="A19" s="9" t="s">
        <v>70</v>
      </c>
      <c r="B19" s="9" t="s">
        <v>71</v>
      </c>
      <c r="C19" s="9" t="s">
        <v>72</v>
      </c>
      <c r="D19" s="9" t="s">
        <v>73</v>
      </c>
      <c r="E19" s="9" t="s">
        <v>74</v>
      </c>
      <c r="F19" s="9" t="s">
        <v>75</v>
      </c>
      <c r="G19" s="9" t="s">
        <v>76</v>
      </c>
      <c r="H19" s="9" t="s">
        <v>77</v>
      </c>
      <c r="I19" s="9" t="s">
        <v>78</v>
      </c>
      <c r="J19" s="9" t="s">
        <v>79</v>
      </c>
      <c r="K19" s="9" t="s">
        <v>80</v>
      </c>
      <c r="L19" s="9" t="s">
        <v>81</v>
      </c>
    </row>
    <row r="20" customFormat="false" ht="15" hidden="false" customHeight="false" outlineLevel="0" collapsed="false">
      <c r="A20" s="0" t="n">
        <v>1</v>
      </c>
      <c r="B20" s="17" t="n">
        <f aca="false">$L$16+A20</f>
        <v>7</v>
      </c>
      <c r="C20" s="17" t="n">
        <f aca="false">B20^2</f>
        <v>49</v>
      </c>
      <c r="D20" s="17" t="n">
        <f aca="false">$L$15+($B$4-$L$15)*MIN(A20,7)/7</f>
        <v>5.28571428571429</v>
      </c>
      <c r="E20" s="17" t="n">
        <f aca="false">100*(1-($B$5/100)*MIN(A20,8)/8)</f>
        <v>96.25</v>
      </c>
      <c r="F20" s="17" t="n">
        <f aca="false">MIN($L$10*100/E20,250)</f>
        <v>78.6258536834721</v>
      </c>
      <c r="G20" s="17" t="n">
        <f aca="false">$L$8+$F$8*((B20-$G$8)/$H$8)+$F$9*((C20-$G$9)/$H$9)+$F$10*(($L$9-$G$10)/$H$10)+$F$11*((F20-$G$11)/$H$11)+$F$12*(($L$11-$G$12)/$H$12)+$F$13*(($L$12-$G$13)/$H$13)+$F$14*((D20-$G$14)/$H$14)</f>
        <v>-7.54828227142429</v>
      </c>
      <c r="H20" s="0" t="n">
        <f aca="false">1/(1+EXP(-G20))</f>
        <v>0.000526737020018555</v>
      </c>
      <c r="I20" s="0" t="n">
        <f aca="false">1</f>
        <v>1</v>
      </c>
      <c r="J20" s="0" t="n">
        <f aca="false">I20*H20</f>
        <v>0.000526737020018555</v>
      </c>
      <c r="K20" s="0" t="n">
        <f aca="false">J20</f>
        <v>0.000526737020018555</v>
      </c>
      <c r="L20" s="11" t="n">
        <f aca="false">K20*$L$13</f>
        <v>0.000158021106005567</v>
      </c>
    </row>
    <row r="21" customFormat="false" ht="15" hidden="false" customHeight="false" outlineLevel="0" collapsed="false">
      <c r="A21" s="0" t="n">
        <v>2</v>
      </c>
      <c r="B21" s="17" t="n">
        <f aca="false">$L$16+A21</f>
        <v>8</v>
      </c>
      <c r="C21" s="17" t="n">
        <f aca="false">B21^2</f>
        <v>64</v>
      </c>
      <c r="D21" s="17" t="n">
        <f aca="false">$L$15+($B$4-$L$15)*MIN(A21,7)/7</f>
        <v>6.07142857142857</v>
      </c>
      <c r="E21" s="17" t="n">
        <f aca="false">100*(1-($B$5/100)*MIN(A21,8)/8)</f>
        <v>92.5</v>
      </c>
      <c r="F21" s="17" t="n">
        <f aca="false">MIN($L$10*100/E21,250)</f>
        <v>81.8133882922615</v>
      </c>
      <c r="G21" s="17" t="n">
        <f aca="false">$L$8+$F$8*((B21-$G$8)/$H$8)+$F$9*((C21-$G$9)/$H$9)+$F$10*(($L$9-$G$10)/$H$10)+$F$11*((F21-$G$11)/$H$11)+$F$12*(($L$11-$G$12)/$H$12)+$F$13*(($L$12-$G$13)/$H$13)+$F$14*((D21-$G$14)/$H$14)</f>
        <v>-7.25941907773197</v>
      </c>
      <c r="H21" s="0" t="n">
        <f aca="false">1/(1+EXP(-G21))</f>
        <v>0.000703022017719934</v>
      </c>
      <c r="I21" s="0" t="n">
        <f aca="false">I20*(1-H20-$L$14)</f>
        <v>0.982973262979981</v>
      </c>
      <c r="J21" s="0" t="n">
        <f aca="false">I21*H21</f>
        <v>0.000691051846704934</v>
      </c>
      <c r="K21" s="0" t="n">
        <f aca="false">K20+J21</f>
        <v>0.00121778886672349</v>
      </c>
      <c r="L21" s="11" t="n">
        <f aca="false">K21*$L$13</f>
        <v>0.000365336660017047</v>
      </c>
    </row>
    <row r="22" customFormat="false" ht="15" hidden="false" customHeight="false" outlineLevel="0" collapsed="false">
      <c r="A22" s="0" t="n">
        <v>3</v>
      </c>
      <c r="B22" s="17" t="n">
        <f aca="false">$L$16+A22</f>
        <v>9</v>
      </c>
      <c r="C22" s="17" t="n">
        <f aca="false">B22^2</f>
        <v>81</v>
      </c>
      <c r="D22" s="17" t="n">
        <f aca="false">$L$15+($B$4-$L$15)*MIN(A22,7)/7</f>
        <v>6.85714285714286</v>
      </c>
      <c r="E22" s="17" t="n">
        <f aca="false">100*(1-($B$5/100)*MIN(A22,8)/8)</f>
        <v>88.75</v>
      </c>
      <c r="F22" s="17" t="n">
        <f aca="false">MIN($L$10*100/E22,250)</f>
        <v>85.2702920229205</v>
      </c>
      <c r="G22" s="17" t="n">
        <f aca="false">$L$8+$F$8*((B22-$G$8)/$H$8)+$F$9*((C22-$G$9)/$H$9)+$F$10*(($L$9-$G$10)/$H$10)+$F$11*((F22-$G$11)/$H$11)+$F$12*(($L$11-$G$12)/$H$12)+$F$13*(($L$12-$G$13)/$H$13)+$F$14*((D22-$G$14)/$H$14)</f>
        <v>-6.96628491396703</v>
      </c>
      <c r="H22" s="0" t="n">
        <f aca="false">1/(1+EXP(-G22))</f>
        <v>0.000942261595444167</v>
      </c>
      <c r="I22" s="0" t="n">
        <f aca="false">I21*(1-H21-$L$14)</f>
        <v>0.966063152294107</v>
      </c>
      <c r="J22" s="0" t="n">
        <f aca="false">I22*H22</f>
        <v>0.000910284207180466</v>
      </c>
      <c r="K22" s="0" t="n">
        <f aca="false">K21+J22</f>
        <v>0.00212807307390396</v>
      </c>
      <c r="L22" s="11" t="n">
        <f aca="false">K22*$L$13</f>
        <v>0.000638421922171187</v>
      </c>
    </row>
    <row r="23" customFormat="false" ht="15" hidden="false" customHeight="false" outlineLevel="0" collapsed="false">
      <c r="A23" s="0" t="n">
        <v>4</v>
      </c>
      <c r="B23" s="17" t="n">
        <f aca="false">$L$16+A23</f>
        <v>10</v>
      </c>
      <c r="C23" s="17" t="n">
        <f aca="false">B23^2</f>
        <v>100</v>
      </c>
      <c r="D23" s="17" t="n">
        <f aca="false">$L$15+($B$4-$L$15)*MIN(A23,7)/7</f>
        <v>7.64285714285714</v>
      </c>
      <c r="E23" s="17" t="n">
        <f aca="false">100*(1-($B$5/100)*MIN(A23,8)/8)</f>
        <v>85</v>
      </c>
      <c r="F23" s="17" t="n">
        <f aca="false">MIN($L$10*100/E23,250)</f>
        <v>89.0322166709905</v>
      </c>
      <c r="G23" s="17" t="n">
        <f aca="false">$L$8+$F$8*((B23-$G$8)/$H$8)+$F$9*((C23-$G$9)/$H$9)+$F$10*(($L$9-$G$10)/$H$10)+$F$11*((F23-$G$11)/$H$11)+$F$12*(($L$11-$G$12)/$H$12)+$F$13*(($L$12-$G$13)/$H$13)+$F$14*((D23-$G$14)/$H$14)</f>
        <v>-6.66828377528737</v>
      </c>
      <c r="H23" s="0" t="n">
        <f aca="false">1/(1+EXP(-G23))</f>
        <v>0.00126896515879611</v>
      </c>
      <c r="I23" s="0" t="n">
        <f aca="false">I22*(1-H22-$L$14)</f>
        <v>0.949212826074074</v>
      </c>
      <c r="J23" s="0" t="n">
        <f aca="false">I23*H23</f>
        <v>0.00120451800457039</v>
      </c>
      <c r="K23" s="0" t="n">
        <f aca="false">K22+J23</f>
        <v>0.00333259107847434</v>
      </c>
      <c r="L23" s="11" t="n">
        <f aca="false">K23*$L$13</f>
        <v>0.000999777323542303</v>
      </c>
    </row>
    <row r="24" customFormat="false" ht="15" hidden="false" customHeight="false" outlineLevel="0" collapsed="false">
      <c r="A24" s="0" t="n">
        <v>5</v>
      </c>
      <c r="B24" s="17" t="n">
        <f aca="false">$L$16+A24</f>
        <v>11</v>
      </c>
      <c r="C24" s="17" t="n">
        <f aca="false">B24^2</f>
        <v>121</v>
      </c>
      <c r="D24" s="17" t="n">
        <f aca="false">$L$15+($B$4-$L$15)*MIN(A24,7)/7</f>
        <v>8.42857142857143</v>
      </c>
      <c r="E24" s="17" t="n">
        <f aca="false">100*(1-($B$5/100)*MIN(A24,8)/8)</f>
        <v>81.25</v>
      </c>
      <c r="F24" s="17" t="n">
        <f aca="false">MIN($L$10*100/E24,250)</f>
        <v>93.1413959019593</v>
      </c>
      <c r="G24" s="17" t="n">
        <f aca="false">$L$8+$F$8*((B24-$G$8)/$H$8)+$F$9*((C24-$G$9)/$H$9)+$F$10*(($L$9-$G$10)/$H$10)+$F$11*((F24-$G$11)/$H$11)+$F$12*(($L$11-$G$12)/$H$12)+$F$13*(($L$12-$G$13)/$H$13)+$F$14*((D24-$G$14)/$H$14)</f>
        <v>-6.3647096251877</v>
      </c>
      <c r="H24" s="0" t="n">
        <f aca="false">1/(1+EXP(-G24))</f>
        <v>0.00171828361139658</v>
      </c>
      <c r="I24" s="0" t="n">
        <f aca="false">I23*(1-H23-$L$14)</f>
        <v>0.932346296439281</v>
      </c>
      <c r="J24" s="0" t="n">
        <f aca="false">I24*H24</f>
        <v>0.00160203536131791</v>
      </c>
      <c r="K24" s="0" t="n">
        <f aca="false">K23+J24</f>
        <v>0.00493462643979226</v>
      </c>
      <c r="L24" s="11" t="n">
        <f aca="false">K24*$L$13</f>
        <v>0.00148038793193768</v>
      </c>
    </row>
    <row r="25" customFormat="false" ht="15" hidden="false" customHeight="false" outlineLevel="0" collapsed="false">
      <c r="A25" s="0" t="n">
        <v>6</v>
      </c>
      <c r="B25" s="17" t="n">
        <f aca="false">$L$16+A25</f>
        <v>12</v>
      </c>
      <c r="C25" s="17" t="n">
        <f aca="false">B25^2</f>
        <v>144</v>
      </c>
      <c r="D25" s="17" t="n">
        <f aca="false">$L$15+($B$4-$L$15)*MIN(A25,7)/7</f>
        <v>9.21428571428572</v>
      </c>
      <c r="E25" s="17" t="n">
        <f aca="false">100*(1-($B$5/100)*MIN(A25,8)/8)</f>
        <v>77.5</v>
      </c>
      <c r="F25" s="17" t="n">
        <f aca="false">MIN($L$10*100/E25,250)</f>
        <v>97.6482376391509</v>
      </c>
      <c r="G25" s="17" t="n">
        <f aca="false">$L$8+$F$8*((B25-$G$8)/$H$8)+$F$9*((C25-$G$9)/$H$9)+$F$10*(($L$9-$G$10)/$H$10)+$F$11*((F25-$G$11)/$H$11)+$F$12*(($L$11-$G$12)/$H$12)+$F$13*(($L$12-$G$13)/$H$13)+$F$14*((D25-$G$14)/$H$14)</f>
        <v>-6.05471977493596</v>
      </c>
      <c r="H25" s="0" t="n">
        <f aca="false">1/(1+EXP(-G25))</f>
        <v>0.00234126526256605</v>
      </c>
      <c r="I25" s="0" t="n">
        <f aca="false">I24*(1-H24-$L$14)</f>
        <v>0.915360547186715</v>
      </c>
      <c r="J25" s="0" t="n">
        <f aca="false">I25*H25</f>
        <v>0.00214310185185171</v>
      </c>
      <c r="K25" s="0" t="n">
        <f aca="false">K24+J25</f>
        <v>0.00707772829164396</v>
      </c>
      <c r="L25" s="11" t="n">
        <f aca="false">K25*$L$13</f>
        <v>0.00212331848749319</v>
      </c>
    </row>
    <row r="26" customFormat="false" ht="15" hidden="false" customHeight="false" outlineLevel="0" collapsed="false">
      <c r="A26" s="0" t="n">
        <v>7</v>
      </c>
      <c r="B26" s="17" t="n">
        <f aca="false">$L$16+A26</f>
        <v>13</v>
      </c>
      <c r="C26" s="17" t="n">
        <f aca="false">B26^2</f>
        <v>169</v>
      </c>
      <c r="D26" s="17" t="n">
        <f aca="false">$L$15+($B$4-$L$15)*MIN(A26,7)/7</f>
        <v>10</v>
      </c>
      <c r="E26" s="17" t="n">
        <f aca="false">100*(1-($B$5/100)*MIN(A26,8)/8)</f>
        <v>73.75</v>
      </c>
      <c r="F26" s="17" t="n">
        <f aca="false">MIN($L$10*100/E26,250)</f>
        <v>102.61340226487</v>
      </c>
      <c r="G26" s="17" t="n">
        <f aca="false">$L$8+$F$8*((B26-$G$8)/$H$8)+$F$9*((C26-$G$9)/$H$9)+$F$10*(($L$9-$G$10)/$H$10)+$F$11*((F26-$G$11)/$H$11)+$F$12*(($L$11-$G$12)/$H$12)+$F$13*(($L$12-$G$13)/$H$13)+$F$14*((D26-$G$14)/$H$14)</f>
        <v>-5.73730014148164</v>
      </c>
      <c r="H26" s="0" t="n">
        <f aca="false">1/(1+EXP(-G26))</f>
        <v>0.00321310211767839</v>
      </c>
      <c r="I26" s="0" t="n">
        <f aca="false">I25*(1-H25-$L$14)</f>
        <v>0.898113996306282</v>
      </c>
      <c r="J26" s="0" t="n">
        <f aca="false">I26*H26</f>
        <v>0.00288573198344832</v>
      </c>
      <c r="K26" s="0" t="n">
        <f aca="false">K25+J26</f>
        <v>0.00996346027509228</v>
      </c>
      <c r="L26" s="11" t="n">
        <f aca="false">K26*$L$13</f>
        <v>0.00298903808252768</v>
      </c>
    </row>
    <row r="27" customFormat="false" ht="15" hidden="false" customHeight="false" outlineLevel="0" collapsed="false">
      <c r="A27" s="0" t="n">
        <v>8</v>
      </c>
      <c r="B27" s="17" t="n">
        <f aca="false">$L$16+A27</f>
        <v>14</v>
      </c>
      <c r="C27" s="17" t="n">
        <f aca="false">B27^2</f>
        <v>196</v>
      </c>
      <c r="D27" s="17" t="n">
        <f aca="false">$L$15+($B$4-$L$15)*MIN(A27,7)/7</f>
        <v>10</v>
      </c>
      <c r="E27" s="17" t="n">
        <f aca="false">100*(1-($B$5/100)*MIN(A27,8)/8)</f>
        <v>70</v>
      </c>
      <c r="F27" s="17" t="n">
        <f aca="false">MIN($L$10*100/E27,250)</f>
        <v>108.110548814774</v>
      </c>
      <c r="G27" s="17" t="n">
        <f aca="false">$L$8+$F$8*((B27-$G$8)/$H$8)+$F$9*((C27-$G$9)/$H$9)+$F$10*(($L$9-$G$10)/$H$10)+$F$11*((F27-$G$11)/$H$11)+$F$12*(($L$11-$G$12)/$H$12)+$F$13*(($L$12-$G$13)/$H$13)+$F$14*((D27-$G$14)/$H$14)</f>
        <v>-5.62711457176753</v>
      </c>
      <c r="H27" s="0" t="n">
        <f aca="false">1/(1+EXP(-G27))</f>
        <v>0.00358603890070951</v>
      </c>
      <c r="I27" s="0" t="n">
        <f aca="false">I26*(1-H26-$L$14)</f>
        <v>0.88040938338378</v>
      </c>
      <c r="J27" s="0" t="n">
        <f aca="false">I27*H27</f>
        <v>0.00315718229736391</v>
      </c>
      <c r="K27" s="0" t="n">
        <f aca="false">K26+J27</f>
        <v>0.0131206425724562</v>
      </c>
      <c r="L27" s="11" t="n">
        <f aca="false">K27*$L$13</f>
        <v>0.00393619277173686</v>
      </c>
    </row>
    <row r="28" customFormat="false" ht="15" hidden="false" customHeight="false" outlineLevel="0" collapsed="false">
      <c r="A28" s="0" t="n">
        <v>9</v>
      </c>
      <c r="B28" s="17" t="n">
        <f aca="false">$L$16+A28</f>
        <v>15</v>
      </c>
      <c r="C28" s="17" t="n">
        <f aca="false">B28^2</f>
        <v>225</v>
      </c>
      <c r="D28" s="17" t="n">
        <f aca="false">$L$15+($B$4-$L$15)*MIN(A28,7)/7</f>
        <v>10</v>
      </c>
      <c r="E28" s="17" t="n">
        <f aca="false">100*(1-($B$5/100)*MIN(A28,8)/8)</f>
        <v>70</v>
      </c>
      <c r="F28" s="17" t="n">
        <f aca="false">MIN($L$10*100/E28,250)</f>
        <v>108.110548814774</v>
      </c>
      <c r="G28" s="17" t="n">
        <f aca="false">$L$8+$F$8*((B28-$G$8)/$H$8)+$F$9*((C28-$G$9)/$H$9)+$F$10*(($L$9-$G$10)/$H$10)+$F$11*((F28-$G$11)/$H$11)+$F$12*(($L$11-$G$12)/$H$12)+$F$13*(($L$12-$G$13)/$H$13)+$F$14*((D28-$G$14)/$H$14)</f>
        <v>-5.60905910267763</v>
      </c>
      <c r="H28" s="0" t="n">
        <f aca="false">1/(1+EXP(-G28))</f>
        <v>0.00365113602397503</v>
      </c>
      <c r="I28" s="0" t="n">
        <f aca="false">I27*(1-H27-$L$14)</f>
        <v>0.862725446260584</v>
      </c>
      <c r="J28" s="0" t="n">
        <f aca="false">I28*H28</f>
        <v>0.00314992795564195</v>
      </c>
      <c r="K28" s="0" t="n">
        <f aca="false">K27+J28</f>
        <v>0.0162705705280981</v>
      </c>
      <c r="L28" s="11" t="n">
        <f aca="false">K28*$L$13</f>
        <v>0.00488117115842944</v>
      </c>
    </row>
    <row r="29" customFormat="false" ht="15" hidden="false" customHeight="false" outlineLevel="0" collapsed="false">
      <c r="A29" s="0" t="n">
        <v>10</v>
      </c>
      <c r="B29" s="17" t="n">
        <f aca="false">$L$16+A29</f>
        <v>16</v>
      </c>
      <c r="C29" s="17" t="n">
        <f aca="false">B29^2</f>
        <v>256</v>
      </c>
      <c r="D29" s="17" t="n">
        <f aca="false">$L$15+($B$4-$L$15)*MIN(A29,7)/7</f>
        <v>10</v>
      </c>
      <c r="E29" s="17" t="n">
        <f aca="false">100*(1-($B$5/100)*MIN(A29,8)/8)</f>
        <v>70</v>
      </c>
      <c r="F29" s="17" t="n">
        <f aca="false">MIN($L$10*100/E29,250)</f>
        <v>108.110548814774</v>
      </c>
      <c r="G29" s="17" t="n">
        <f aca="false">$L$8+$F$8*((B29-$G$8)/$H$8)+$F$9*((C29-$G$9)/$H$9)+$F$10*(($L$9-$G$10)/$H$10)+$F$11*((F29-$G$11)/$H$11)+$F$12*(($L$11-$G$12)/$H$12)+$F$13*(($L$12-$G$13)/$H$13)+$F$14*((D29-$G$14)/$H$14)</f>
        <v>-5.59123581121103</v>
      </c>
      <c r="H29" s="0" t="n">
        <f aca="false">1/(1+EXP(-G29))</f>
        <v>0.00371655065030657</v>
      </c>
      <c r="I29" s="0" t="n">
        <f aca="false">I28*(1-H28-$L$14)</f>
        <v>0.845340548441643</v>
      </c>
      <c r="J29" s="0" t="n">
        <f aca="false">I29*H29</f>
        <v>0.00314175096504129</v>
      </c>
      <c r="K29" s="0" t="n">
        <f aca="false">K28+J29</f>
        <v>0.0194123214931394</v>
      </c>
      <c r="L29" s="11" t="n">
        <f aca="false">K29*$L$13</f>
        <v>0.00582369644794183</v>
      </c>
    </row>
    <row r="30" customFormat="false" ht="15" hidden="false" customHeight="false" outlineLevel="0" collapsed="false">
      <c r="A30" s="0" t="n">
        <v>11</v>
      </c>
      <c r="B30" s="17" t="n">
        <f aca="false">$L$16+A30</f>
        <v>17</v>
      </c>
      <c r="C30" s="17" t="n">
        <f aca="false">B30^2</f>
        <v>289</v>
      </c>
      <c r="D30" s="17" t="n">
        <f aca="false">$L$15+($B$4-$L$15)*MIN(A30,7)/7</f>
        <v>10</v>
      </c>
      <c r="E30" s="17" t="n">
        <f aca="false">100*(1-($B$5/100)*MIN(A30,8)/8)</f>
        <v>70</v>
      </c>
      <c r="F30" s="17" t="n">
        <f aca="false">MIN($L$10*100/E30,250)</f>
        <v>108.110548814774</v>
      </c>
      <c r="G30" s="17" t="n">
        <f aca="false">$L$8+$F$8*((B30-$G$8)/$H$8)+$F$9*((C30-$G$9)/$H$9)+$F$10*(($L$9-$G$10)/$H$10)+$F$11*((F30-$G$11)/$H$11)+$F$12*(($L$11-$G$12)/$H$12)+$F$13*(($L$12-$G$13)/$H$13)+$F$14*((D30-$G$14)/$H$14)</f>
        <v>-5.57364469736775</v>
      </c>
      <c r="H30" s="0" t="n">
        <f aca="false">1/(1+EXP(-G30))</f>
        <v>0.00378225787567995</v>
      </c>
      <c r="I30" s="0" t="n">
        <f aca="false">I29*(1-H29-$L$14)</f>
        <v>0.828250678427314</v>
      </c>
      <c r="J30" s="0" t="n">
        <f aca="false">I30*H30</f>
        <v>0.00313265765151897</v>
      </c>
      <c r="K30" s="0" t="n">
        <f aca="false">K29+J30</f>
        <v>0.0225449791446584</v>
      </c>
      <c r="L30" s="11" t="n">
        <f aca="false">K30*$L$13</f>
        <v>0.00676349374339752</v>
      </c>
    </row>
    <row r="31" customFormat="false" ht="15" hidden="false" customHeight="false" outlineLevel="0" collapsed="false">
      <c r="A31" s="0" t="n">
        <v>12</v>
      </c>
      <c r="B31" s="17" t="n">
        <f aca="false">$L$16+A31</f>
        <v>18</v>
      </c>
      <c r="C31" s="17" t="n">
        <f aca="false">B31^2</f>
        <v>324</v>
      </c>
      <c r="D31" s="17" t="n">
        <f aca="false">$L$15+($B$4-$L$15)*MIN(A31,7)/7</f>
        <v>10</v>
      </c>
      <c r="E31" s="17" t="n">
        <f aca="false">100*(1-($B$5/100)*MIN(A31,8)/8)</f>
        <v>70</v>
      </c>
      <c r="F31" s="17" t="n">
        <f aca="false">MIN($L$10*100/E31,250)</f>
        <v>108.110548814774</v>
      </c>
      <c r="G31" s="17" t="n">
        <f aca="false">$L$8+$F$8*((B31-$G$8)/$H$8)+$F$9*((C31-$G$9)/$H$9)+$F$10*(($L$9-$G$10)/$H$10)+$F$11*((F31-$G$11)/$H$11)+$F$12*(($L$11-$G$12)/$H$12)+$F$13*(($L$12-$G$13)/$H$13)+$F$14*((D31-$G$14)/$H$14)</f>
        <v>-5.55628576114778</v>
      </c>
      <c r="H31" s="0" t="n">
        <f aca="false">1/(1+EXP(-G31))</f>
        <v>0.00384823215445732</v>
      </c>
      <c r="I31" s="0" t="n">
        <f aca="false">I30*(1-H30-$L$14)</f>
        <v>0.811451884581745</v>
      </c>
      <c r="J31" s="0" t="n">
        <f aca="false">I31*H31</f>
        <v>0.00312265523404246</v>
      </c>
      <c r="K31" s="0" t="n">
        <f aca="false">K30+J31</f>
        <v>0.0256676343787009</v>
      </c>
      <c r="L31" s="11" t="n">
        <f aca="false">K31*$L$13</f>
        <v>0.00770029031361026</v>
      </c>
    </row>
    <row r="32" customFormat="false" ht="15" hidden="false" customHeight="false" outlineLevel="0" collapsed="false">
      <c r="A32" s="0" t="n">
        <v>13</v>
      </c>
      <c r="B32" s="17" t="n">
        <f aca="false">$L$16+A32</f>
        <v>19</v>
      </c>
      <c r="C32" s="17" t="n">
        <f aca="false">B32^2</f>
        <v>361</v>
      </c>
      <c r="D32" s="17" t="n">
        <f aca="false">$L$15+($B$4-$L$15)*MIN(A32,7)/7</f>
        <v>10</v>
      </c>
      <c r="E32" s="17" t="n">
        <f aca="false">100*(1-($B$5/100)*MIN(A32,8)/8)</f>
        <v>70</v>
      </c>
      <c r="F32" s="17" t="n">
        <f aca="false">MIN($L$10*100/E32,250)</f>
        <v>108.110548814774</v>
      </c>
      <c r="G32" s="17" t="n">
        <f aca="false">$L$8+$F$8*((B32-$G$8)/$H$8)+$F$9*((C32-$G$9)/$H$9)+$F$10*(($L$9-$G$10)/$H$10)+$F$11*((F32-$G$11)/$H$11)+$F$12*(($L$11-$G$12)/$H$12)+$F$13*(($L$12-$G$13)/$H$13)+$F$14*((D32-$G$14)/$H$14)</f>
        <v>-5.53915900255111</v>
      </c>
      <c r="H32" s="0" t="n">
        <f aca="false">1/(1+EXP(-G32))</f>
        <v>0.00391444731216987</v>
      </c>
      <c r="I32" s="0" t="n">
        <f aca="false">I31*(1-H31-$L$14)</f>
        <v>0.794940273252103</v>
      </c>
      <c r="J32" s="0" t="n">
        <f aca="false">I32*H32</f>
        <v>0.00311175181596728</v>
      </c>
      <c r="K32" s="0" t="n">
        <f aca="false">K31+J32</f>
        <v>0.0287793861946681</v>
      </c>
      <c r="L32" s="11" t="n">
        <f aca="false">K32*$L$13</f>
        <v>0.00863381585840044</v>
      </c>
    </row>
    <row r="34" customFormat="false" ht="15" hidden="false" customHeight="false" outlineLevel="0" collapsed="false">
      <c r="A34" s="7" t="s">
        <v>82</v>
      </c>
      <c r="B34" s="18" t="n">
        <f aca="false">K32</f>
        <v>0.0287793861946681</v>
      </c>
    </row>
    <row r="35" customFormat="false" ht="15" hidden="false" customHeight="false" outlineLevel="0" collapsed="false">
      <c r="A35" s="7" t="s">
        <v>83</v>
      </c>
      <c r="B35" s="18" t="n">
        <f aca="false">L32</f>
        <v>0.00863381585840044</v>
      </c>
    </row>
    <row r="36" customFormat="false" ht="15" hidden="false" customHeight="false" outlineLevel="0" collapsed="false">
      <c r="A36" s="7" t="s">
        <v>84</v>
      </c>
      <c r="B36" s="19" t="n">
        <f aca="false">B35*$L$17</f>
        <v>306038536.55716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2026-07-02T06:43:47Z</dcterms:created>
  <dc:creator>openpyxl</dc:creator>
  <dc:description/>
  <dc:language>en-US</dc:language>
  <cp:lastModifiedBy/>
  <dcterms:modified xsi:type="dcterms:W3CDTF">2026-07-02T06:43:55Z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